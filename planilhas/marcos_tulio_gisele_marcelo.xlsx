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ra Gisele" sheetId="2" state="visible" r:id="rId2"/>
    <sheet name="Dr Marc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4" fillId="3" borderId="1" pivotButton="0" quotePrefix="0" xfId="0"/>
    <xf numFmtId="166" fontId="4" fillId="3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</cols>
  <sheetData>
    <row r="1">
      <c r="A1" s="1" t="inlineStr">
        <is>
          <t>Resumo – Pagamentos a Marcos Tulio</t>
        </is>
      </c>
    </row>
    <row r="3">
      <c r="A3" s="2" t="inlineStr">
        <is>
          <t>Origem</t>
        </is>
      </c>
      <c r="B3" s="2" t="inlineStr">
        <is>
          <t>Qtd. lançamentos</t>
        </is>
      </c>
      <c r="C3" s="2" t="inlineStr">
        <is>
          <t>Total (R$)</t>
        </is>
      </c>
    </row>
    <row r="4">
      <c r="A4" s="3" t="inlineStr">
        <is>
          <t>Dra Gisele</t>
        </is>
      </c>
      <c r="B4" s="3">
        <f>COUNTA('Dra Gisele'!A5:A14)</f>
        <v/>
      </c>
      <c r="C4" s="4">
        <f>'Dra Gisele'!F15</f>
        <v/>
      </c>
    </row>
    <row r="5">
      <c r="A5" s="3" t="inlineStr">
        <is>
          <t>Dr Marcelo</t>
        </is>
      </c>
      <c r="B5" s="3">
        <f>COUNTA('Dr Marcelo'!A5:A13)</f>
        <v/>
      </c>
      <c r="C5" s="4">
        <f>'Dr Marcelo'!F14</f>
        <v/>
      </c>
    </row>
    <row r="6">
      <c r="A6" s="5" t="inlineStr">
        <is>
          <t>TOTAL GERAL</t>
        </is>
      </c>
      <c r="B6" s="5">
        <f>B4+B5</f>
        <v/>
      </c>
      <c r="C6" s="6">
        <f>C4+C5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46" customWidth="1" min="3" max="3"/>
    <col width="30" customWidth="1" min="4" max="4"/>
    <col width="10" customWidth="1" min="5" max="5"/>
    <col width="15" customWidth="1" min="6" max="6"/>
  </cols>
  <sheetData>
    <row r="1">
      <c r="A1" s="1" t="inlineStr">
        <is>
          <t>Pagamentos a Marcos Tulio – Dra. Gisele</t>
        </is>
      </c>
    </row>
    <row r="2">
      <c r="A2" s="7" t="inlineStr">
        <is>
          <t>Origem: relatório de extrato (PDF) – LINO E WERNECK LTDA – despesas realizadas</t>
        </is>
      </c>
    </row>
    <row r="4">
      <c r="A4" s="8" t="inlineStr">
        <is>
          <t>Data</t>
        </is>
      </c>
      <c r="B4" s="8" t="inlineStr">
        <is>
          <t>Descrição</t>
        </is>
      </c>
      <c r="C4" s="8" t="inlineStr">
        <is>
          <t>Fornecedor</t>
        </is>
      </c>
      <c r="D4" s="8" t="inlineStr">
        <is>
          <t>Categoria</t>
        </is>
      </c>
      <c r="E4" s="8" t="inlineStr">
        <is>
          <t>Situação</t>
        </is>
      </c>
      <c r="F4" s="8" t="inlineStr">
        <is>
          <t>Valor (R$)</t>
        </is>
      </c>
    </row>
    <row r="5">
      <c r="A5" s="9" t="n">
        <v>46045</v>
      </c>
      <c r="B5" s="3" t="inlineStr">
        <is>
          <t>SEM NF | REEMBOLSO MOTORISTA</t>
        </is>
      </c>
      <c r="C5" s="3" t="inlineStr">
        <is>
          <t>MARCOS TULIO NASCIMENTO SILVA (CNPJ 35.204.738)</t>
        </is>
      </c>
      <c r="D5" s="3" t="inlineStr">
        <is>
          <t>Despesas Pessoais dos Sócios</t>
        </is>
      </c>
      <c r="E5" s="3" t="inlineStr">
        <is>
          <t>Pago</t>
        </is>
      </c>
      <c r="F5" s="4" t="n">
        <v>40</v>
      </c>
    </row>
    <row r="6">
      <c r="A6" s="9" t="n">
        <v>46057</v>
      </c>
      <c r="B6" s="3" t="inlineStr">
        <is>
          <t>SEM NF | REEMBOLSO MOTORISTA</t>
        </is>
      </c>
      <c r="C6" s="3" t="inlineStr">
        <is>
          <t>MARCOS TULIO NASCIMENTO SILVA (CNPJ 35.204.738)</t>
        </is>
      </c>
      <c r="D6" s="3" t="inlineStr">
        <is>
          <t>Despesas Pessoais dos Sócios</t>
        </is>
      </c>
      <c r="E6" s="3" t="inlineStr">
        <is>
          <t>Pago</t>
        </is>
      </c>
      <c r="F6" s="4" t="n">
        <v>170</v>
      </c>
    </row>
    <row r="7">
      <c r="A7" s="9" t="n">
        <v>46064</v>
      </c>
      <c r="B7" s="3" t="inlineStr">
        <is>
          <t>SEM NF | REEMBOLSO MOTORISTA</t>
        </is>
      </c>
      <c r="C7" s="3" t="inlineStr">
        <is>
          <t>MARCOS TULIO NASCIMENTO SILVA (CNPJ 35.204.738)</t>
        </is>
      </c>
      <c r="D7" s="3" t="inlineStr">
        <is>
          <t>Despesas Pessoais dos Sócios</t>
        </is>
      </c>
      <c r="E7" s="3" t="inlineStr">
        <is>
          <t>Pago</t>
        </is>
      </c>
      <c r="F7" s="4" t="n">
        <v>180.9</v>
      </c>
    </row>
    <row r="8">
      <c r="A8" s="9" t="n">
        <v>46087</v>
      </c>
      <c r="B8" s="3" t="inlineStr">
        <is>
          <t>1/120 - NFS-e 2</t>
        </is>
      </c>
      <c r="C8" s="3" t="inlineStr">
        <is>
          <t>MARCOS TULIO NASCIMENTO SILVA (CNPJ 35.204.738)</t>
        </is>
      </c>
      <c r="D8" s="3" t="inlineStr">
        <is>
          <t>Motorista</t>
        </is>
      </c>
      <c r="E8" s="3" t="inlineStr">
        <is>
          <t>Pago</t>
        </is>
      </c>
      <c r="F8" s="4" t="n">
        <v>6000</v>
      </c>
    </row>
    <row r="9">
      <c r="A9" s="9" t="n">
        <v>46097</v>
      </c>
      <c r="B9" s="3" t="inlineStr">
        <is>
          <t>NFS-e 5 | Serviços extras</t>
        </is>
      </c>
      <c r="C9" s="3" t="inlineStr">
        <is>
          <t>MARCOS TULIO NASCIMENTO SILVA (CNPJ 35.204.738)</t>
        </is>
      </c>
      <c r="D9" s="3" t="inlineStr">
        <is>
          <t>Motorista</t>
        </is>
      </c>
      <c r="E9" s="3" t="inlineStr">
        <is>
          <t>Pago</t>
        </is>
      </c>
      <c r="F9" s="4" t="n">
        <v>300</v>
      </c>
    </row>
    <row r="10">
      <c r="A10" s="9" t="n">
        <v>46105</v>
      </c>
      <c r="B10" s="3" t="inlineStr">
        <is>
          <t>NFS-e 6</t>
        </is>
      </c>
      <c r="C10" s="3" t="inlineStr">
        <is>
          <t>MARCOS TULIO NASCIMENTO SILVA (CNPJ 35.204.738)</t>
        </is>
      </c>
      <c r="D10" s="3" t="inlineStr">
        <is>
          <t>Motorista</t>
        </is>
      </c>
      <c r="E10" s="3" t="inlineStr">
        <is>
          <t>Pago</t>
        </is>
      </c>
      <c r="F10" s="4" t="n">
        <v>300</v>
      </c>
    </row>
    <row r="11">
      <c r="A11" s="9" t="n">
        <v>46111</v>
      </c>
      <c r="B11" s="3" t="inlineStr">
        <is>
          <t>NFS-e 7</t>
        </is>
      </c>
      <c r="C11" s="3" t="inlineStr">
        <is>
          <t>MARCOS TULIO NASCIMENTO SILVA (CNPJ 35.204.738)</t>
        </is>
      </c>
      <c r="D11" s="3" t="inlineStr">
        <is>
          <t>Motorista</t>
        </is>
      </c>
      <c r="E11" s="3" t="inlineStr">
        <is>
          <t>Pago</t>
        </is>
      </c>
      <c r="F11" s="4" t="n">
        <v>150</v>
      </c>
    </row>
    <row r="12">
      <c r="A12" s="9" t="n">
        <v>46113</v>
      </c>
      <c r="B12" s="3" t="inlineStr">
        <is>
          <t>NFS-e 8</t>
        </is>
      </c>
      <c r="C12" s="3" t="inlineStr">
        <is>
          <t>MARCOS TULIO NASCIMENTO SILVA (CNPJ 35.204.738)</t>
        </is>
      </c>
      <c r="D12" s="3" t="inlineStr">
        <is>
          <t>Motorista</t>
        </is>
      </c>
      <c r="E12" s="3" t="inlineStr">
        <is>
          <t>Pago</t>
        </is>
      </c>
      <c r="F12" s="4" t="n">
        <v>75</v>
      </c>
    </row>
    <row r="13">
      <c r="A13" s="9" t="n">
        <v>46119</v>
      </c>
      <c r="B13" s="3" t="inlineStr">
        <is>
          <t>2/120 - NFS-e 9</t>
        </is>
      </c>
      <c r="C13" s="3" t="inlineStr">
        <is>
          <t>MARCOS TULIO NASCIMENTO SILVA (CNPJ 35.204.738)</t>
        </is>
      </c>
      <c r="D13" s="3" t="inlineStr">
        <is>
          <t>Motorista</t>
        </is>
      </c>
      <c r="E13" s="3" t="inlineStr">
        <is>
          <t>Pago</t>
        </is>
      </c>
      <c r="F13" s="4" t="n">
        <v>6000</v>
      </c>
    </row>
    <row r="14">
      <c r="A14" s="9" t="n">
        <v>46150</v>
      </c>
      <c r="B14" s="3" t="inlineStr">
        <is>
          <t>3/120 - NFS-e 10</t>
        </is>
      </c>
      <c r="C14" s="3" t="inlineStr">
        <is>
          <t>MARCOS TULIO NASCIMENTO SILVA (CNPJ 35.204.738)</t>
        </is>
      </c>
      <c r="D14" s="3" t="inlineStr">
        <is>
          <t>Motorista</t>
        </is>
      </c>
      <c r="E14" s="3" t="inlineStr">
        <is>
          <t>Pago</t>
        </is>
      </c>
      <c r="F14" s="4" t="n">
        <v>6600</v>
      </c>
    </row>
    <row r="15">
      <c r="A15" s="10" t="n"/>
      <c r="B15" s="10" t="n"/>
      <c r="C15" s="10" t="n"/>
      <c r="D15" s="10" t="n"/>
      <c r="E15" s="5" t="inlineStr">
        <is>
          <t>TOTAL</t>
        </is>
      </c>
      <c r="F15" s="6">
        <f>SUM(F5:F14)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46" customWidth="1" min="3" max="3"/>
    <col width="30" customWidth="1" min="4" max="4"/>
    <col width="10" customWidth="1" min="5" max="5"/>
    <col width="15" customWidth="1" min="6" max="6"/>
  </cols>
  <sheetData>
    <row r="1">
      <c r="A1" s="1" t="inlineStr">
        <is>
          <t>Pagamentos a Marcos Tulio – Dr. Marcelo</t>
        </is>
      </c>
    </row>
    <row r="2">
      <c r="A2" s="7" t="inlineStr">
        <is>
          <t>Origem: imagem da planilha do Dr. Marcelo</t>
        </is>
      </c>
    </row>
    <row r="4">
      <c r="A4" s="8" t="inlineStr">
        <is>
          <t>Data</t>
        </is>
      </c>
      <c r="B4" s="8" t="inlineStr">
        <is>
          <t>Descrição</t>
        </is>
      </c>
      <c r="C4" s="8" t="inlineStr">
        <is>
          <t>Fornecedor</t>
        </is>
      </c>
      <c r="D4" s="8" t="inlineStr">
        <is>
          <t>Categoria</t>
        </is>
      </c>
      <c r="E4" s="8" t="inlineStr">
        <is>
          <t>Situação</t>
        </is>
      </c>
      <c r="F4" s="8" t="inlineStr">
        <is>
          <t>Valor (R$)</t>
        </is>
      </c>
    </row>
    <row r="5">
      <c r="A5" s="9" t="n">
        <v>46087</v>
      </c>
      <c r="B5" s="3" t="inlineStr">
        <is>
          <t>Pagamento motorista família - mar/2026</t>
        </is>
      </c>
      <c r="C5" s="3" t="inlineStr">
        <is>
          <t>MARCOS TULIO NASCIMENTO SILVA (CNPJ 35.204.738)</t>
        </is>
      </c>
      <c r="D5" s="3" t="inlineStr">
        <is>
          <t>Despesas casa Gisele (DP)</t>
        </is>
      </c>
      <c r="E5" s="3" t="inlineStr">
        <is>
          <t>Pago</t>
        </is>
      </c>
      <c r="F5" s="4" t="n">
        <v>6000</v>
      </c>
    </row>
    <row r="6">
      <c r="A6" s="9" t="n">
        <v>46095</v>
      </c>
      <c r="B6" s="3" t="inlineStr">
        <is>
          <t>Pagamento transporte Henrique para escola sábado - mar/2026</t>
        </is>
      </c>
      <c r="C6" s="3" t="inlineStr">
        <is>
          <t>MARCOS TULIO NASCIMENTO SILVA (CNPJ 35.204.738)</t>
        </is>
      </c>
      <c r="D6" s="3" t="inlineStr">
        <is>
          <t>Despesas casa Gisele (DP)</t>
        </is>
      </c>
      <c r="E6" s="3" t="inlineStr">
        <is>
          <t>Pago</t>
        </is>
      </c>
      <c r="F6" s="4" t="n">
        <v>300</v>
      </c>
    </row>
    <row r="7">
      <c r="A7" s="9" t="n">
        <v>46105</v>
      </c>
      <c r="B7" s="3" t="inlineStr">
        <is>
          <t>transporte Henrique escola sábado</t>
        </is>
      </c>
      <c r="C7" s="3" t="inlineStr">
        <is>
          <t>MARCOS TULIO NASCIMENTO SILVA (CNPJ 35.204.738)</t>
        </is>
      </c>
      <c r="D7" s="3" t="inlineStr">
        <is>
          <t>Despesas casa Gisele (DP)</t>
        </is>
      </c>
      <c r="E7" s="3" t="inlineStr">
        <is>
          <t>Pago</t>
        </is>
      </c>
      <c r="F7" s="4" t="n">
        <v>300</v>
      </c>
    </row>
    <row r="8">
      <c r="A8" s="9" t="n">
        <v>46111</v>
      </c>
      <c r="B8" s="3" t="inlineStr">
        <is>
          <t>MOTORISTA</t>
        </is>
      </c>
      <c r="C8" s="3" t="inlineStr">
        <is>
          <t>MARCOS TULIO NASCIMENTO SILVA (CNPJ 35.204.738)</t>
        </is>
      </c>
      <c r="D8" s="3" t="inlineStr">
        <is>
          <t>Despesas casa Gisele (DP)</t>
        </is>
      </c>
      <c r="E8" s="3" t="inlineStr">
        <is>
          <t>Pago</t>
        </is>
      </c>
      <c r="F8" s="4" t="n">
        <v>150</v>
      </c>
    </row>
    <row r="9">
      <c r="A9" s="9" t="n">
        <v>46119</v>
      </c>
      <c r="B9" s="3" t="inlineStr">
        <is>
          <t>1/9 - MOTORISTA FAMILIA</t>
        </is>
      </c>
      <c r="C9" s="3" t="inlineStr">
        <is>
          <t>MARCOS TULIO NASCIMENTO SILVA (CNPJ 35.204.738)</t>
        </is>
      </c>
      <c r="D9" s="3" t="inlineStr">
        <is>
          <t>Despesas casa Gisele (DP)</t>
        </is>
      </c>
      <c r="E9" s="3" t="inlineStr">
        <is>
          <t>Pago</t>
        </is>
      </c>
      <c r="F9" s="4" t="n">
        <v>6000</v>
      </c>
    </row>
    <row r="10">
      <c r="A10" s="9" t="n">
        <v>46178</v>
      </c>
      <c r="B10" s="3" t="inlineStr">
        <is>
          <t>3/9 - Pagamento motorista familia - mar/2026</t>
        </is>
      </c>
      <c r="C10" s="3" t="inlineStr">
        <is>
          <t>MARCOS TULIO NASCIMENTO SILVA (CNPJ 35.204.738)</t>
        </is>
      </c>
      <c r="D10" s="3" t="inlineStr">
        <is>
          <t>Despesas casa Gisele (DP)</t>
        </is>
      </c>
      <c r="E10" s="3" t="inlineStr">
        <is>
          <t>Pago</t>
        </is>
      </c>
      <c r="F10" s="4" t="n">
        <v>6750</v>
      </c>
    </row>
    <row r="11">
      <c r="A11" s="9" t="n">
        <v>46188</v>
      </c>
      <c r="B11" s="3" t="inlineStr">
        <is>
          <t>PIX TRANSF Marcos 13 06 - identificar</t>
        </is>
      </c>
      <c r="C11" s="3" t="inlineStr">
        <is>
          <t>MARCOS TULIO NASCIMENTO SILVA (CNPJ 35.204.738)</t>
        </is>
      </c>
      <c r="D11" s="3" t="inlineStr">
        <is>
          <t>A Identificar (DP)</t>
        </is>
      </c>
      <c r="E11" s="3" t="inlineStr">
        <is>
          <t>Pago</t>
        </is>
      </c>
      <c r="F11" s="4" t="n">
        <v>280</v>
      </c>
    </row>
    <row r="12">
      <c r="A12" s="9" t="n">
        <v>46206</v>
      </c>
      <c r="B12" s="3" t="inlineStr">
        <is>
          <t>REPOSIÇÃO DE GASTOS COM SUPERMERCADO</t>
        </is>
      </c>
      <c r="C12" s="3" t="inlineStr">
        <is>
          <t>MARCOS TULIO NASCIMENTO SILVA (CNPJ 35.204.738)</t>
        </is>
      </c>
      <c r="D12" s="3" t="inlineStr">
        <is>
          <t>Filhos (DP)</t>
        </is>
      </c>
      <c r="E12" s="3" t="inlineStr">
        <is>
          <t>Pago</t>
        </is>
      </c>
      <c r="F12" s="4" t="n">
        <v>170.95</v>
      </c>
    </row>
    <row r="13">
      <c r="A13" s="9" t="n">
        <v>46209</v>
      </c>
      <c r="B13" s="3" t="inlineStr">
        <is>
          <t>4/9 - PAGAMENTO MOTORISTA FAMILIA + DESPESAS EXTRAS</t>
        </is>
      </c>
      <c r="C13" s="3" t="inlineStr">
        <is>
          <t>MARCOS TULIO NASCIMENTO SILVA (CNPJ 35.204.738)</t>
        </is>
      </c>
      <c r="D13" s="3" t="inlineStr">
        <is>
          <t>Despesas casa Gisele (DP)</t>
        </is>
      </c>
      <c r="E13" s="3" t="inlineStr">
        <is>
          <t>Pago</t>
        </is>
      </c>
      <c r="F13" s="4" t="n">
        <v>7058</v>
      </c>
    </row>
    <row r="14">
      <c r="A14" s="10" t="n"/>
      <c r="B14" s="10" t="n"/>
      <c r="C14" s="10" t="n"/>
      <c r="D14" s="10" t="n"/>
      <c r="E14" s="5" t="inlineStr">
        <is>
          <t>TOTAL</t>
        </is>
      </c>
      <c r="F14" s="6">
        <f>SUM(F5:F13)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2026-09-23T19:41:40Z</dcterms:created>
  <dcterms:modified xsi:type="dcterms:W3CDTF">2026-09-23T19:41:40Z</dcterms:modified>
</cp:coreProperties>
</file>